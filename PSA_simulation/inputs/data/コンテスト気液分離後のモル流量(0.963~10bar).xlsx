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OtaRikuto\Downloads\"/>
    </mc:Choice>
  </mc:AlternateContent>
  <xr:revisionPtr revIDLastSave="0" documentId="8_{9E4B0E32-9B61-4927-A5DB-C928681083FF}" xr6:coauthVersionLast="47" xr6:coauthVersionMax="47" xr10:uidLastSave="{00000000-0000-0000-0000-000000000000}"/>
  <bookViews>
    <workbookView xWindow="-110" yWindow="-110" windowWidth="19300" windowHeight="8320" activeTab="1" xr2:uid="{E3CE1D6D-D1BB-415D-B126-6177D94D5841}"/>
  </bookViews>
  <sheets>
    <sheet name="まとめ" sheetId="2" r:id="rId1"/>
    <sheet name="0.963~10 barでのモル流量"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9" i="1" l="1"/>
  <c r="E9" i="1"/>
  <c r="F9" i="1"/>
  <c r="G9" i="1"/>
  <c r="I9" i="1"/>
  <c r="J9" i="1"/>
  <c r="K9" i="1"/>
  <c r="L9" i="1"/>
  <c r="M9" i="1"/>
  <c r="C9" i="1"/>
  <c r="G11" i="1"/>
  <c r="M11" i="1"/>
  <c r="F11" i="1"/>
  <c r="M3" i="1"/>
  <c r="L11" i="1"/>
  <c r="J3" i="1"/>
  <c r="K3" i="1"/>
  <c r="L3" i="1"/>
  <c r="K11" i="1"/>
  <c r="E11" i="1"/>
  <c r="I3" i="1"/>
  <c r="D3" i="1"/>
  <c r="E3" i="1"/>
  <c r="F3" i="1"/>
  <c r="G3" i="1"/>
  <c r="C3" i="1"/>
</calcChain>
</file>

<file path=xl/sharedStrings.xml><?xml version="1.0" encoding="utf-8"?>
<sst xmlns="http://schemas.openxmlformats.org/spreadsheetml/2006/main" count="13" uniqueCount="13">
  <si>
    <t>圧力[kPa]</t>
    <rPh sb="0" eb="2">
      <t>アツリョク</t>
    </rPh>
    <phoneticPr fontId="1"/>
  </si>
  <si>
    <t>圧力[bar]</t>
    <rPh sb="0" eb="2">
      <t>アツリョク</t>
    </rPh>
    <phoneticPr fontId="1"/>
  </si>
  <si>
    <t>温度[℃]</t>
    <rPh sb="0" eb="2">
      <t>オンド</t>
    </rPh>
    <phoneticPr fontId="1"/>
  </si>
  <si>
    <t>メタン流量[kmol/h]</t>
    <rPh sb="3" eb="5">
      <t>リュウリョウ</t>
    </rPh>
    <phoneticPr fontId="1"/>
  </si>
  <si>
    <t>水流量[kmol/h]</t>
    <rPh sb="0" eb="1">
      <t>スイ</t>
    </rPh>
    <rPh sb="1" eb="3">
      <t>リュウリョウ</t>
    </rPh>
    <phoneticPr fontId="1"/>
  </si>
  <si>
    <t>二酸化炭素流量[kmol/h]</t>
    <rPh sb="0" eb="5">
      <t>ニサンカタンソ</t>
    </rPh>
    <rPh sb="5" eb="7">
      <t>リュウリョウ</t>
    </rPh>
    <phoneticPr fontId="1"/>
  </si>
  <si>
    <t>水素流量[kmol/h]</t>
    <rPh sb="0" eb="2">
      <t>スイソ</t>
    </rPh>
    <rPh sb="2" eb="4">
      <t>リュウリョウ</t>
    </rPh>
    <phoneticPr fontId="1"/>
  </si>
  <si>
    <t>コンプレッサー数</t>
    <rPh sb="7" eb="8">
      <t>スウ</t>
    </rPh>
    <phoneticPr fontId="1"/>
  </si>
  <si>
    <t>クーラー動力[kcal/h]</t>
    <rPh sb="4" eb="6">
      <t>ドウリョク</t>
    </rPh>
    <phoneticPr fontId="1"/>
  </si>
  <si>
    <t>参考</t>
    <rPh sb="0" eb="2">
      <t>サンコウ</t>
    </rPh>
    <phoneticPr fontId="1"/>
  </si>
  <si>
    <t>コンプレッサー動力[kcal/h]</t>
    <rPh sb="7" eb="9">
      <t>ドウリョク</t>
    </rPh>
    <phoneticPr fontId="1"/>
  </si>
  <si>
    <t>おそらくpV=nRTに大体従ってるっぽい？
(圧力と水の流量は反比例になってそうなので）
もし水分量をどのくらいに抑えたい等の要望があればまた調べるので送ってください。</t>
    <rPh sb="11" eb="14">
      <t>ダイタイシタガ</t>
    </rPh>
    <rPh sb="23" eb="25">
      <t>アツリョク</t>
    </rPh>
    <rPh sb="26" eb="27">
      <t>ミズ</t>
    </rPh>
    <rPh sb="28" eb="30">
      <t>リュウリョウ</t>
    </rPh>
    <rPh sb="31" eb="34">
      <t>ハンピレイ</t>
    </rPh>
    <rPh sb="47" eb="50">
      <t>スイブンリョウ</t>
    </rPh>
    <rPh sb="57" eb="58">
      <t>オサ</t>
    </rPh>
    <rPh sb="61" eb="62">
      <t>トウ</t>
    </rPh>
    <rPh sb="63" eb="65">
      <t>ヨウボウ</t>
    </rPh>
    <rPh sb="71" eb="72">
      <t>シラ</t>
    </rPh>
    <rPh sb="76" eb="77">
      <t>オク</t>
    </rPh>
    <phoneticPr fontId="1"/>
  </si>
  <si>
    <t>水モル分率</t>
    <rPh sb="0" eb="1">
      <t>ミズ</t>
    </rPh>
    <rPh sb="3" eb="5">
      <t>ブンリツ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</si>
</sst>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20"/>
      <color theme="1"/>
      <name val="メイリオ"/>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NumberFormat="1">
      <alignment vertical="center"/>
    </xf>
    <xf numFmtId="0" fontId="2"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2FEA-164B-4DF2-A297-0ACCFECC4CBE}">
  <dimension ref="A1"/>
  <sheetViews>
    <sheetView workbookViewId="0"/>
  </sheetViews>
  <sheetFormatPr defaultRowHeight="18.75" x14ac:dyDescent="0.4"/>
  <cols>
    <col min="1" max="1" width="152.375" customWidth="1"/>
  </cols>
  <sheetData>
    <row r="1" spans="1:1" ht="109.5" customHeight="1" x14ac:dyDescent="0.4">
      <c r="A1" s="2"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C2A6E-4B1B-49D5-BC2B-A778EB9A6837}">
  <dimension ref="B1:M16"/>
  <sheetViews>
    <sheetView tabSelected="1" topLeftCell="D13" workbookViewId="0">
      <selection activeCell="E7" sqref="E7"/>
    </sheetView>
  </sheetViews>
  <sheetFormatPr defaultRowHeight="18.75" x14ac:dyDescent="0.4"/>
  <cols>
    <col min="2" max="2" width="24.75" customWidth="1"/>
    <col min="3" max="3" width="16.875" customWidth="1"/>
    <col min="4" max="4" width="15.75" customWidth="1"/>
    <col min="5" max="5" width="17.625" customWidth="1"/>
    <col min="6" max="6" width="15.25" customWidth="1"/>
    <col min="7" max="8" width="15" customWidth="1"/>
    <col min="9" max="9" width="18.125" customWidth="1"/>
    <col min="10" max="10" width="12.5" customWidth="1"/>
    <col min="11" max="11" width="13.125" customWidth="1"/>
    <col min="12" max="12" width="13.875" customWidth="1"/>
    <col min="13" max="13" width="12" customWidth="1"/>
  </cols>
  <sheetData>
    <row r="1" spans="2:13" x14ac:dyDescent="0.4">
      <c r="B1" s="1"/>
      <c r="C1" s="1"/>
      <c r="D1" s="1"/>
      <c r="E1" s="1"/>
      <c r="F1" s="1"/>
      <c r="G1" s="1"/>
      <c r="H1" s="1"/>
      <c r="I1" s="1" t="s">
        <v>9</v>
      </c>
      <c r="J1" s="1"/>
    </row>
    <row r="2" spans="2:13" x14ac:dyDescent="0.4">
      <c r="B2" s="1" t="s">
        <v>1</v>
      </c>
      <c r="C2" s="1">
        <v>0.96299999999999997</v>
      </c>
      <c r="D2" s="1">
        <v>3</v>
      </c>
      <c r="E2" s="1">
        <v>5</v>
      </c>
      <c r="F2" s="1">
        <v>8</v>
      </c>
      <c r="G2" s="1">
        <v>10</v>
      </c>
      <c r="H2" s="1"/>
      <c r="I2" s="1">
        <v>2</v>
      </c>
      <c r="J2" s="1">
        <v>4</v>
      </c>
      <c r="K2" s="1">
        <v>6</v>
      </c>
      <c r="L2" s="1">
        <v>7</v>
      </c>
      <c r="M2" s="1">
        <v>9</v>
      </c>
    </row>
    <row r="3" spans="2:13" x14ac:dyDescent="0.4">
      <c r="B3" s="1" t="s">
        <v>0</v>
      </c>
      <c r="C3" s="1">
        <f>100*C2</f>
        <v>96.3</v>
      </c>
      <c r="D3" s="1">
        <f t="shared" ref="D3:I3" si="0">100*D2</f>
        <v>300</v>
      </c>
      <c r="E3" s="1">
        <f t="shared" si="0"/>
        <v>500</v>
      </c>
      <c r="F3" s="1">
        <f t="shared" si="0"/>
        <v>800</v>
      </c>
      <c r="G3" s="1">
        <f t="shared" si="0"/>
        <v>1000</v>
      </c>
      <c r="H3" s="1"/>
      <c r="I3" s="1">
        <f t="shared" si="0"/>
        <v>200</v>
      </c>
      <c r="J3" s="1">
        <f t="shared" ref="J3" si="1">100*J2</f>
        <v>400</v>
      </c>
      <c r="K3" s="1">
        <f t="shared" ref="K3" si="2">100*K2</f>
        <v>600</v>
      </c>
      <c r="L3" s="1">
        <f t="shared" ref="L3:M3" si="3">100*L2</f>
        <v>700</v>
      </c>
      <c r="M3" s="1">
        <f t="shared" si="3"/>
        <v>900</v>
      </c>
    </row>
    <row r="4" spans="2:13" x14ac:dyDescent="0.4">
      <c r="B4" s="1" t="s">
        <v>2</v>
      </c>
      <c r="C4" s="1">
        <v>40</v>
      </c>
      <c r="D4" s="1">
        <v>40</v>
      </c>
      <c r="E4" s="1">
        <v>40</v>
      </c>
      <c r="F4" s="1">
        <v>40</v>
      </c>
      <c r="G4" s="1">
        <v>40</v>
      </c>
      <c r="H4" s="1"/>
      <c r="I4" s="1">
        <v>40</v>
      </c>
      <c r="J4" s="1">
        <v>40</v>
      </c>
      <c r="K4" s="1">
        <v>40</v>
      </c>
      <c r="L4" s="1">
        <v>40</v>
      </c>
      <c r="M4" s="1">
        <v>40</v>
      </c>
    </row>
    <row r="5" spans="2:13" x14ac:dyDescent="0.4">
      <c r="B5" s="1" t="s">
        <v>3</v>
      </c>
      <c r="C5" s="1">
        <v>11.9441140315291</v>
      </c>
      <c r="D5" s="1">
        <v>11.944053469436099</v>
      </c>
      <c r="E5" s="1">
        <v>11.944067308439701</v>
      </c>
      <c r="F5" s="1">
        <v>11.9440586285201</v>
      </c>
      <c r="G5" s="1">
        <v>11.944050467287299</v>
      </c>
      <c r="H5" s="1"/>
      <c r="I5" s="1">
        <v>11.9440831063273</v>
      </c>
      <c r="J5" s="1">
        <v>11.9440240129816</v>
      </c>
      <c r="K5">
        <v>11.9440595382796</v>
      </c>
      <c r="L5">
        <v>11.9440524375509</v>
      </c>
      <c r="M5">
        <v>11.9440543871551</v>
      </c>
    </row>
    <row r="6" spans="2:13" x14ac:dyDescent="0.4">
      <c r="B6" s="1" t="s">
        <v>4</v>
      </c>
      <c r="C6" s="1">
        <v>1.1823917449665</v>
      </c>
      <c r="D6" s="1">
        <v>0.36232405567557402</v>
      </c>
      <c r="E6" s="1">
        <v>0.217015118235271</v>
      </c>
      <c r="F6" s="1">
        <v>0.136556369892189</v>
      </c>
      <c r="G6" s="1">
        <v>0.109945507119249</v>
      </c>
      <c r="H6" s="1"/>
      <c r="I6" s="1">
        <v>0.54816092734321997</v>
      </c>
      <c r="J6" s="1">
        <v>0.27115810550705599</v>
      </c>
      <c r="K6">
        <v>0.18113368162426199</v>
      </c>
      <c r="L6">
        <v>0.15563455107718799</v>
      </c>
      <c r="M6">
        <v>0.121759755592747</v>
      </c>
    </row>
    <row r="7" spans="2:13" x14ac:dyDescent="0.4">
      <c r="B7" s="1" t="s">
        <v>5</v>
      </c>
      <c r="C7" s="1">
        <v>5.4369933999277604E-4</v>
      </c>
      <c r="D7" s="1">
        <v>5.42043530844986E-4</v>
      </c>
      <c r="E7" s="1">
        <v>5.4363741835927E-4</v>
      </c>
      <c r="F7" s="1">
        <v>5.4362733998238998E-4</v>
      </c>
      <c r="G7" s="1">
        <v>5.4361824499636504E-4</v>
      </c>
      <c r="H7" s="1"/>
      <c r="I7" s="1">
        <v>5.4249073886163395E-4</v>
      </c>
      <c r="J7" s="1">
        <v>5.4178185767307597E-4</v>
      </c>
      <c r="K7" s="1">
        <v>5.4362845796785905E-4</v>
      </c>
      <c r="L7" s="1">
        <v>5.4362042397189403E-4</v>
      </c>
      <c r="M7" s="1">
        <v>5.4362258870248401E-4</v>
      </c>
    </row>
    <row r="8" spans="2:13" x14ac:dyDescent="0.4">
      <c r="B8" s="1" t="s">
        <v>6</v>
      </c>
      <c r="C8" s="1">
        <v>2.2215201548393302</v>
      </c>
      <c r="D8" s="1">
        <v>2.2215125416788801</v>
      </c>
      <c r="E8" s="1">
        <v>2.2215142754555202</v>
      </c>
      <c r="F8" s="1">
        <v>2.22151315583314</v>
      </c>
      <c r="G8" s="1">
        <v>2.2215120965222201</v>
      </c>
      <c r="H8" s="1"/>
      <c r="I8" s="1">
        <v>2.2215162824684702</v>
      </c>
      <c r="J8" s="1">
        <v>2.2215087944062599</v>
      </c>
      <c r="K8">
        <v>2.2215132818293601</v>
      </c>
      <c r="L8">
        <v>2.2215123685711098</v>
      </c>
      <c r="M8">
        <v>2.2215126066598798</v>
      </c>
    </row>
    <row r="9" spans="2:13" x14ac:dyDescent="0.4">
      <c r="B9" t="s">
        <v>12</v>
      </c>
      <c r="C9" s="1">
        <f>C6/SUM(C5:C8)</f>
        <v>7.7035956666830246E-2</v>
      </c>
      <c r="D9" s="1">
        <f t="shared" ref="D9:M9" si="4">D6/SUM(D5:D8)</f>
        <v>2.4938964708942614E-2</v>
      </c>
      <c r="E9" s="1">
        <f t="shared" si="4"/>
        <v>1.5088159686417829E-2</v>
      </c>
      <c r="F9" s="1">
        <f t="shared" si="4"/>
        <v>9.5476126403183179E-3</v>
      </c>
      <c r="G9" s="1">
        <f t="shared" si="4"/>
        <v>7.7013945811520209E-3</v>
      </c>
      <c r="H9" s="1"/>
      <c r="I9" s="1">
        <f t="shared" si="4"/>
        <v>3.7253611981329829E-2</v>
      </c>
      <c r="J9" s="1">
        <f t="shared" si="4"/>
        <v>1.8781861540931741E-2</v>
      </c>
      <c r="K9" s="1">
        <f t="shared" si="4"/>
        <v>1.2624975516604325E-2</v>
      </c>
      <c r="L9" s="1">
        <f t="shared" si="4"/>
        <v>1.0867011879794049E-2</v>
      </c>
      <c r="M9" s="1">
        <f t="shared" si="4"/>
        <v>8.5218967153698807E-3</v>
      </c>
    </row>
    <row r="10" spans="2:13" x14ac:dyDescent="0.4">
      <c r="B10" s="1" t="s">
        <v>7</v>
      </c>
      <c r="C10" s="1">
        <v>0</v>
      </c>
      <c r="D10" s="1">
        <v>1</v>
      </c>
      <c r="E10" s="1">
        <v>2</v>
      </c>
      <c r="F10" s="1">
        <v>3</v>
      </c>
      <c r="G10" s="1">
        <v>3</v>
      </c>
      <c r="H10" s="1"/>
      <c r="I10" s="1">
        <v>1</v>
      </c>
      <c r="J10" s="1">
        <v>1</v>
      </c>
      <c r="K10">
        <v>2</v>
      </c>
      <c r="L10">
        <v>2</v>
      </c>
      <c r="M10">
        <v>3</v>
      </c>
    </row>
    <row r="11" spans="2:13" x14ac:dyDescent="0.4">
      <c r="B11" s="1" t="s">
        <v>10</v>
      </c>
      <c r="C11" s="1">
        <v>0</v>
      </c>
      <c r="D11" s="1">
        <v>15530.604001181</v>
      </c>
      <c r="E11" s="1">
        <f>11013.2907076746+11544.2016166732</f>
        <v>22557.492324347797</v>
      </c>
      <c r="F11">
        <f>9351.03589603011+9756.3678924048+9148.10737114386</f>
        <v>28255.511159578768</v>
      </c>
      <c r="G11" s="1">
        <f>10167.916586277+10879.4277010155+10396.2718793354</f>
        <v>31443.6161666279</v>
      </c>
      <c r="H11" s="1"/>
      <c r="I11" s="1">
        <v>9726.1971286161697</v>
      </c>
      <c r="J11" s="1">
        <v>19944.5999873705</v>
      </c>
      <c r="K11">
        <f>12960.3904788601+12323.5614520413</f>
        <v>25283.951930901399</v>
      </c>
      <c r="L11">
        <f>14178.4271676536+13448.6169120464</f>
        <v>27627.044079699997</v>
      </c>
      <c r="M11">
        <f>9684.63651929675+10346.8087925027+9901.03190099651</f>
        <v>29932.477212795959</v>
      </c>
    </row>
    <row r="12" spans="2:13" x14ac:dyDescent="0.4">
      <c r="B12" s="1" t="s">
        <v>8</v>
      </c>
      <c r="C12" s="1">
        <v>7665.1551653655297</v>
      </c>
      <c r="D12" s="1">
        <v>31763.857516800228</v>
      </c>
      <c r="E12" s="1">
        <v>40377.740890686531</v>
      </c>
      <c r="F12">
        <v>47032.743279933828</v>
      </c>
      <c r="G12" s="1">
        <v>50578.907836646526</v>
      </c>
      <c r="H12" s="1"/>
      <c r="I12" s="1">
        <v>23995.665112203227</v>
      </c>
      <c r="J12" s="1">
        <v>37162.152734989824</v>
      </c>
      <c r="K12">
        <v>43516.904946210227</v>
      </c>
      <c r="L12">
        <v>46165.221346468927</v>
      </c>
      <c r="M12">
        <v>48904.187632342539</v>
      </c>
    </row>
    <row r="13" spans="2:13" x14ac:dyDescent="0.4">
      <c r="B13" s="1"/>
      <c r="C13" s="1"/>
      <c r="D13" s="1"/>
      <c r="E13" s="1"/>
      <c r="F13" s="1"/>
      <c r="G13" s="1"/>
      <c r="H13" s="1"/>
      <c r="I13" s="1"/>
      <c r="J13" s="1"/>
    </row>
    <row r="14" spans="2:13" x14ac:dyDescent="0.4">
      <c r="B14" s="1"/>
      <c r="C14" s="1"/>
      <c r="D14" s="1"/>
      <c r="E14" s="1"/>
      <c r="F14" s="1"/>
      <c r="G14" s="1"/>
      <c r="H14" s="1"/>
      <c r="I14" s="1"/>
      <c r="J14" s="1"/>
    </row>
    <row r="15" spans="2:13" x14ac:dyDescent="0.4">
      <c r="B15" s="1"/>
      <c r="D15" s="1"/>
      <c r="E15" s="1"/>
      <c r="F15" s="1"/>
      <c r="G15" s="1"/>
      <c r="H15" s="1"/>
      <c r="I15" s="1"/>
      <c r="J15" s="1"/>
    </row>
    <row r="16" spans="2:13" x14ac:dyDescent="0.4">
      <c r="C16" s="1"/>
    </row>
  </sheetData>
  <phoneticPr fontId="1"/>
  <pageMargins left="0.7" right="0.7" top="0.75" bottom="0.75" header="0.3" footer="0.3"/>
  <ignoredErrors>
    <ignoredError sqref="C9:M9"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まとめ</vt:lpstr>
      <vt:lpstr>0.963~10 barでのモル流量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ota.rikuto.48s@st.kyoto-u.ac.jp</dc:creator>
  <cp:lastModifiedBy>ota.rikuto.48s@st.kyoto-u.ac.jp</cp:lastModifiedBy>
  <dcterms:created xsi:type="dcterms:W3CDTF">2026-08-20T12:47:23Z</dcterms:created>
  <dcterms:modified xsi:type="dcterms:W3CDTF">2026-08-21T07:07:41Z</dcterms:modified>
</cp:coreProperties>
</file>